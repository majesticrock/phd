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\Desktop\"/>
    </mc:Choice>
  </mc:AlternateContent>
  <xr:revisionPtr revIDLastSave="0" documentId="13_ncr:1_{D870AC1F-04C9-445C-A462-461ACA10264F}" xr6:coauthVersionLast="47" xr6:coauthVersionMax="47" xr10:uidLastSave="{00000000-0000-0000-0000-000000000000}"/>
  <bookViews>
    <workbookView xWindow="-120" yWindow="-120" windowWidth="38640" windowHeight="21240" xr2:uid="{F8C8300E-2FA2-4CC7-A0CD-F98AD9733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E30" i="1"/>
  <c r="E29" i="1"/>
  <c r="E27" i="1"/>
  <c r="E5" i="1"/>
  <c r="E4" i="1"/>
  <c r="E3" i="1"/>
  <c r="E2" i="1"/>
  <c r="E23" i="1"/>
  <c r="E22" i="1"/>
  <c r="E21" i="1"/>
  <c r="E17" i="1"/>
  <c r="E16" i="1"/>
  <c r="E15" i="1"/>
  <c r="E10" i="1"/>
  <c r="E11" i="1"/>
  <c r="E9" i="1"/>
</calcChain>
</file>

<file path=xl/sharedStrings.xml><?xml version="1.0" encoding="utf-8"?>
<sst xmlns="http://schemas.openxmlformats.org/spreadsheetml/2006/main" count="35" uniqueCount="19">
  <si>
    <t>DOS</t>
  </si>
  <si>
    <t>Momentum</t>
  </si>
  <si>
    <t>DISC</t>
  </si>
  <si>
    <t>Diff</t>
  </si>
  <si>
    <t>U=-0.4</t>
  </si>
  <si>
    <t>U=-0.6</t>
  </si>
  <si>
    <t>U=-0.8</t>
  </si>
  <si>
    <t>U=-0.2</t>
  </si>
  <si>
    <t>In den Momentum- und DOS-Spalten ist jeweils Delta_gesamt aufgezeichnet</t>
  </si>
  <si>
    <t>In DISC steht die Diskretisierung</t>
  </si>
  <si>
    <t>- für die DOS-Rechnung gilt N=8*(DISC)^2</t>
  </si>
  <si>
    <t>(Faktor 2, weil es programmiertechnisch einfacher war...)</t>
  </si>
  <si>
    <t>- für die "normale" SK also die halbe Kantenlänge, N=4*(DISC)^2</t>
  </si>
  <si>
    <t>Es gilt konsequent V=0, T=0</t>
  </si>
  <si>
    <t>U=-0.8752</t>
  </si>
  <si>
    <t>&lt;- Sentef hat bei dem U gerechnet</t>
  </si>
  <si>
    <t>&lt;- Sentef hat diese Diskretisierung (L=120) gewählt</t>
  </si>
  <si>
    <t>Meine letzten Phasendiagramme waren immer bei L=200 (DISC=100)</t>
  </si>
  <si>
    <t>und die Moden-Plots gehen bestensfalls bis L=80 (DISC=40)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</si>
</sst>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 applyAlignment="1">
      <alignment horizontal="center"/>
    </xf>
    <xf numFmtId="11" fontId="1" fillId="2" borderId="1" xfId="1" applyNumberFormat="1" applyAlignment="1">
      <alignment horizontal="center"/>
    </xf>
    <xf numFmtId="0" fontId="0" fillId="0" borderId="0" xfId="0" applyAlignment="1">
      <alignment horizontal="center"/>
    </xf>
    <xf numFmtId="10" fontId="1" fillId="2" borderId="1" xfId="1" applyNumberFormat="1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E168-F370-47E1-8EFC-3811AB293CD6}">
  <dimension ref="A1:H30"/>
  <sheetViews>
    <sheetView tabSelected="1" zoomScale="160" zoomScaleNormal="160" workbookViewId="0">
      <selection activeCell="J14" sqref="J14"/>
    </sheetView>
  </sheetViews>
  <sheetFormatPr defaultRowHeight="15" x14ac:dyDescent="0.25"/>
  <cols>
    <col min="1" max="1" width="9.140625" style="3"/>
    <col min="2" max="2" width="11.28515625" style="3" customWidth="1"/>
    <col min="3" max="4" width="20.7109375" style="3" customWidth="1"/>
    <col min="5" max="5" width="13" style="3" customWidth="1"/>
    <col min="6" max="7" width="9.140625" style="3"/>
    <col min="8" max="8" width="63.85546875" style="3" customWidth="1"/>
    <col min="9" max="16384" width="9.140625" style="3"/>
  </cols>
  <sheetData>
    <row r="1" spans="1:8" x14ac:dyDescent="0.25">
      <c r="A1" s="1" t="s">
        <v>7</v>
      </c>
      <c r="B1" s="1" t="s">
        <v>2</v>
      </c>
      <c r="C1" s="2" t="s">
        <v>0</v>
      </c>
      <c r="D1" s="1" t="s">
        <v>1</v>
      </c>
      <c r="E1" s="1" t="s">
        <v>3</v>
      </c>
      <c r="H1" s="3" t="s">
        <v>8</v>
      </c>
    </row>
    <row r="2" spans="1:8" x14ac:dyDescent="0.25">
      <c r="A2" s="1"/>
      <c r="B2" s="1">
        <v>50</v>
      </c>
      <c r="C2" s="2">
        <v>2.3877066900000001E-22</v>
      </c>
      <c r="D2" s="2">
        <v>2.56413684E-3</v>
      </c>
      <c r="E2" s="4">
        <f>(D2-C2)/D2</f>
        <v>1</v>
      </c>
    </row>
    <row r="3" spans="1:8" x14ac:dyDescent="0.25">
      <c r="A3" s="1"/>
      <c r="B3" s="1">
        <v>100</v>
      </c>
      <c r="C3" s="2">
        <v>2.3183716900000001E-19</v>
      </c>
      <c r="D3" s="2">
        <v>1.4052496100000001E-3</v>
      </c>
      <c r="E3" s="4">
        <f t="shared" ref="E3:E4" si="0">(D3-C3)/D3</f>
        <v>0.99999999999999989</v>
      </c>
      <c r="H3" s="3" t="s">
        <v>9</v>
      </c>
    </row>
    <row r="4" spans="1:8" x14ac:dyDescent="0.25">
      <c r="A4" s="1"/>
      <c r="B4" s="1">
        <v>200</v>
      </c>
      <c r="C4" s="2">
        <v>2.4619702599999999E-5</v>
      </c>
      <c r="D4" s="2">
        <v>7.8063706000000002E-4</v>
      </c>
      <c r="E4" s="4">
        <f t="shared" si="0"/>
        <v>0.96846203714694246</v>
      </c>
      <c r="H4" s="5" t="s">
        <v>12</v>
      </c>
    </row>
    <row r="5" spans="1:8" x14ac:dyDescent="0.25">
      <c r="A5" s="1"/>
      <c r="B5" s="1">
        <v>300</v>
      </c>
      <c r="C5" s="2">
        <v>2.5043147300000001E-5</v>
      </c>
      <c r="D5" s="2">
        <v>5.5789862100000004E-4</v>
      </c>
      <c r="E5" s="4">
        <f t="shared" ref="E5" si="1">(D5-C5)/D5</f>
        <v>0.95511165226558259</v>
      </c>
      <c r="H5" s="5" t="s">
        <v>10</v>
      </c>
    </row>
    <row r="6" spans="1:8" x14ac:dyDescent="0.25">
      <c r="H6" s="3" t="s">
        <v>11</v>
      </c>
    </row>
    <row r="8" spans="1:8" x14ac:dyDescent="0.25">
      <c r="A8" s="1" t="s">
        <v>4</v>
      </c>
      <c r="B8" s="1" t="s">
        <v>2</v>
      </c>
      <c r="C8" s="2" t="s">
        <v>0</v>
      </c>
      <c r="D8" s="1" t="s">
        <v>1</v>
      </c>
      <c r="E8" s="1" t="s">
        <v>3</v>
      </c>
      <c r="H8" s="3" t="s">
        <v>13</v>
      </c>
    </row>
    <row r="9" spans="1:8" x14ac:dyDescent="0.25">
      <c r="A9" s="1"/>
      <c r="B9" s="1">
        <v>50</v>
      </c>
      <c r="C9" s="2">
        <v>1.5369613300000001E-3</v>
      </c>
      <c r="D9" s="2">
        <v>7.0145099799999999E-3</v>
      </c>
      <c r="E9" s="4">
        <f>(D9-C9)/D9</f>
        <v>0.78088828237721031</v>
      </c>
    </row>
    <row r="10" spans="1:8" x14ac:dyDescent="0.25">
      <c r="A10" s="1"/>
      <c r="B10" s="1">
        <v>100</v>
      </c>
      <c r="C10" s="2">
        <v>1.5475120199999999E-3</v>
      </c>
      <c r="D10" s="2">
        <v>4.3900468799999998E-3</v>
      </c>
      <c r="E10" s="4">
        <f t="shared" ref="E10:E11" si="2">(D10-C10)/D10</f>
        <v>0.64749533153049155</v>
      </c>
    </row>
    <row r="11" spans="1:8" x14ac:dyDescent="0.25">
      <c r="A11" s="1"/>
      <c r="B11" s="1">
        <v>200</v>
      </c>
      <c r="C11" s="2">
        <v>1.5501322200000001E-3</v>
      </c>
      <c r="D11" s="2">
        <v>2.9231864699999998E-3</v>
      </c>
      <c r="E11" s="4">
        <f t="shared" si="2"/>
        <v>0.46971148234686505</v>
      </c>
    </row>
    <row r="12" spans="1:8" x14ac:dyDescent="0.25">
      <c r="H12" s="3" t="s">
        <v>17</v>
      </c>
    </row>
    <row r="13" spans="1:8" x14ac:dyDescent="0.25">
      <c r="H13" s="3" t="s">
        <v>18</v>
      </c>
    </row>
    <row r="14" spans="1:8" x14ac:dyDescent="0.25">
      <c r="A14" s="1" t="s">
        <v>5</v>
      </c>
      <c r="B14" s="1" t="s">
        <v>2</v>
      </c>
      <c r="C14" s="2" t="s">
        <v>0</v>
      </c>
      <c r="D14" s="1" t="s">
        <v>1</v>
      </c>
      <c r="E14" s="1" t="s">
        <v>3</v>
      </c>
    </row>
    <row r="15" spans="1:8" x14ac:dyDescent="0.25">
      <c r="A15" s="1"/>
      <c r="B15" s="1">
        <v>50</v>
      </c>
      <c r="C15" s="2">
        <v>9.5845168399999996E-3</v>
      </c>
      <c r="D15" s="2">
        <v>1.53788451E-2</v>
      </c>
      <c r="E15" s="4">
        <f>(D15-C15)/D15</f>
        <v>0.37677265245359681</v>
      </c>
    </row>
    <row r="16" spans="1:8" x14ac:dyDescent="0.25">
      <c r="A16" s="1"/>
      <c r="B16" s="1">
        <v>100</v>
      </c>
      <c r="C16" s="2">
        <v>9.5973480600000001E-3</v>
      </c>
      <c r="D16" s="2">
        <v>1.16705499E-2</v>
      </c>
      <c r="E16" s="4">
        <f t="shared" ref="E16:E17" si="3">(D16-C16)/D16</f>
        <v>0.17764388634335049</v>
      </c>
    </row>
    <row r="17" spans="1:8" x14ac:dyDescent="0.25">
      <c r="A17" s="1"/>
      <c r="B17" s="1">
        <v>200</v>
      </c>
      <c r="C17" s="2">
        <v>9.6005532699999993E-3</v>
      </c>
      <c r="D17" s="2">
        <v>1.0058985499999999E-2</v>
      </c>
      <c r="E17" s="4">
        <f t="shared" si="3"/>
        <v>4.5574400122159429E-2</v>
      </c>
    </row>
    <row r="20" spans="1:8" x14ac:dyDescent="0.25">
      <c r="A20" s="1" t="s">
        <v>6</v>
      </c>
      <c r="B20" s="1" t="s">
        <v>2</v>
      </c>
      <c r="C20" s="2" t="s">
        <v>0</v>
      </c>
      <c r="D20" s="1" t="s">
        <v>1</v>
      </c>
      <c r="E20" s="1" t="s">
        <v>3</v>
      </c>
    </row>
    <row r="21" spans="1:8" x14ac:dyDescent="0.25">
      <c r="A21" s="1"/>
      <c r="B21" s="1">
        <v>50</v>
      </c>
      <c r="C21" s="2">
        <v>2.8444931400000002E-2</v>
      </c>
      <c r="D21" s="2">
        <v>3.1662066799999999E-2</v>
      </c>
      <c r="E21" s="4">
        <f>(D21-C21)/D21</f>
        <v>0.10160850901874788</v>
      </c>
    </row>
    <row r="22" spans="1:8" x14ac:dyDescent="0.25">
      <c r="A22" s="1"/>
      <c r="B22" s="1">
        <v>100</v>
      </c>
      <c r="C22" s="2">
        <v>2.8459737400000001E-2</v>
      </c>
      <c r="D22" s="2">
        <v>2.8908715599999999E-2</v>
      </c>
      <c r="E22" s="4">
        <f t="shared" ref="E22:E23" si="4">(D22-C22)/D22</f>
        <v>1.5530894080953164E-2</v>
      </c>
    </row>
    <row r="23" spans="1:8" x14ac:dyDescent="0.25">
      <c r="A23" s="1"/>
      <c r="B23" s="1">
        <v>200</v>
      </c>
      <c r="C23" s="2">
        <v>2.8463437800000001E-2</v>
      </c>
      <c r="D23" s="2">
        <v>2.8478618800000001E-2</v>
      </c>
      <c r="E23" s="4">
        <f t="shared" si="4"/>
        <v>5.3306658256893863E-4</v>
      </c>
    </row>
    <row r="26" spans="1:8" x14ac:dyDescent="0.25">
      <c r="A26" s="1" t="s">
        <v>14</v>
      </c>
      <c r="B26" s="1" t="s">
        <v>2</v>
      </c>
      <c r="C26" s="2" t="s">
        <v>0</v>
      </c>
      <c r="D26" s="1" t="s">
        <v>1</v>
      </c>
      <c r="E26" s="1" t="s">
        <v>3</v>
      </c>
      <c r="H26" s="3" t="s">
        <v>15</v>
      </c>
    </row>
    <row r="27" spans="1:8" x14ac:dyDescent="0.25">
      <c r="A27" s="1"/>
      <c r="B27" s="1">
        <v>50</v>
      </c>
      <c r="C27" s="2">
        <v>3.8733172900000001E-2</v>
      </c>
      <c r="D27" s="2">
        <v>4.0886623699999999E-2</v>
      </c>
      <c r="E27" s="4">
        <f>(D27-C27)/D27</f>
        <v>5.2668834086195236E-2</v>
      </c>
    </row>
    <row r="28" spans="1:8" x14ac:dyDescent="0.25">
      <c r="A28" s="1"/>
      <c r="B28" s="1">
        <v>60</v>
      </c>
      <c r="C28" s="2">
        <v>3.8739481999999999E-2</v>
      </c>
      <c r="D28" s="2">
        <v>4.0007249799999998E-2</v>
      </c>
      <c r="E28" s="4">
        <f>(D28-C28)/D28</f>
        <v>3.1688451626584936E-2</v>
      </c>
      <c r="H28" s="3" t="s">
        <v>16</v>
      </c>
    </row>
    <row r="29" spans="1:8" x14ac:dyDescent="0.25">
      <c r="A29" s="1"/>
      <c r="B29" s="1">
        <v>100</v>
      </c>
      <c r="C29" s="2">
        <v>3.8748657399999997E-2</v>
      </c>
      <c r="D29" s="2">
        <v>3.8926954399999998E-2</v>
      </c>
      <c r="E29" s="4">
        <f t="shared" ref="E29:E30" si="5">(D29-C29)/D29</f>
        <v>4.5802966799786647E-3</v>
      </c>
    </row>
    <row r="30" spans="1:8" x14ac:dyDescent="0.25">
      <c r="A30" s="1"/>
      <c r="B30" s="1">
        <v>200</v>
      </c>
      <c r="C30" s="2">
        <v>3.8752527699999997E-2</v>
      </c>
      <c r="D30" s="2">
        <v>3.8755717799999999E-2</v>
      </c>
      <c r="E30" s="4">
        <f t="shared" si="5"/>
        <v>8.2313015500424359E-5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Althüser</dc:creator>
  <cp:lastModifiedBy>Joshua Althüser</cp:lastModifiedBy>
  <dcterms:created xsi:type="dcterms:W3CDTF">2023-07-17T11:44:03Z</dcterms:created>
  <dcterms:modified xsi:type="dcterms:W3CDTF">2023-07-17T12:19:28Z</dcterms:modified>
</cp:coreProperties>
</file>